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e851601db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Assessment" sheetId="1" r:id="R1a49be0ff2e6469b"/>
    <x:sheet xmlns:r="http://schemas.openxmlformats.org/officeDocument/2006/relationships" name="Asset Inventory" sheetId="2" r:id="Rfd447c8ef2594a19"/>
    <x:sheet xmlns:r="http://schemas.openxmlformats.org/officeDocument/2006/relationships" name="Methodology" sheetId="3" r:id="Rc33e15cc13fe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047468768e42c7" /><Relationship Type="http://schemas.openxmlformats.org/officeDocument/2006/relationships/theme" Target="/xl/theme/theme1.xml" Id="R5e15cdb2670343d8" /><Relationship Type="http://schemas.openxmlformats.org/officeDocument/2006/relationships/sharedStrings" Target="/xl/sharedStrings.xml" Id="R22759c6e16734500" /><Relationship Type="http://schemas.openxmlformats.org/officeDocument/2006/relationships/worksheet" Target="/xl/worksheets/sheet1.xml" Id="R1a49be0ff2e6469b" /><Relationship Type="http://schemas.openxmlformats.org/officeDocument/2006/relationships/worksheet" Target="/xl/worksheets/sheet2.xml" Id="Rfd447c8ef2594a19" /><Relationship Type="http://schemas.openxmlformats.org/officeDocument/2006/relationships/worksheet" Target="/xl/worksheets/sheet3.xml" Id="Rc33e15cc13fe46b3" /></Relationships>
</file>

<file path=xl/tables/table1.xml><?xml version="1.0" encoding="utf-8"?>
<x:table xmlns:x="http://schemas.openxmlformats.org/spreadsheetml/2006/main" id="1" name="RiskAssessmentTable" displayName="RiskAssessmentTable" ref="A1:Q16" headerRowCount="1">
  <x:tableColumns count="17">
    <x:tableColumn id="1" name="Risk ID"/>
    <x:tableColumn id="2" name="Asset"/>
    <x:tableColumn id="3" name="Threat"/>
    <x:tableColumn id="4" name="Vulnerability"/>
    <x:tableColumn id="5" name="Existing Controls"/>
    <x:tableColumn id="6" name="Likelihood"/>
    <x:tableColumn id="7" name="Impact"/>
    <x:tableColumn id="8" name="Inherent Score"/>
    <x:tableColumn id="9" name="Inherent Level"/>
    <x:tableColumn id="10" name="Treatment"/>
    <x:tableColumn id="11" name="Action Plan"/>
    <x:tableColumn id="12" name="Owner"/>
    <x:tableColumn id="13" name="Residual Likelihood"/>
    <x:tableColumn id="14" name="Residual Impact"/>
    <x:tableColumn id="15" name="Residual Score"/>
    <x:tableColumn id="16" name="Residual Level"/>
    <x:tableColumn id="17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AssetInventoryTable" displayName="AssetInventoryTable" ref="A1:H11" headerRowCount="1">
  <x:tableColumns count="8">
    <x:tableColumn id="1" name="Asset ID"/>
    <x:tableColumn id="2" name="Asset"/>
    <x:tableColumn id="3" name="Type"/>
    <x:tableColumn id="4" name="Business Owner"/>
    <x:tableColumn id="5" name="Location"/>
    <x:tableColumn id="6" name="Classification"/>
    <x:tableColumn id="7" name="Criticality"/>
    <x:tableColumn id="8" name="CIA 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edef21cd514f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28bd21126c412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4" hidden="0" customWidth="1"/>
    <x:col min="5" max="5" width="25" hidden="0" customWidth="1"/>
    <x:col min="6" max="6" width="11" hidden="0" customWidth="1"/>
    <x:col min="7" max="7" width="10" hidden="0" customWidth="1"/>
    <x:col min="8" max="8" width="13" hidden="0" customWidth="1"/>
    <x:col min="9" max="9" width="14" hidden="0" customWidth="1"/>
    <x:col min="10" max="10" width="14" hidden="0" customWidth="1"/>
    <x:col min="11" max="11" width="34" hidden="0" customWidth="1"/>
    <x:col min="12" max="12" width="18" hidden="0" customWidth="1"/>
    <x:col min="13" max="13" width="16" hidden="0" customWidth="1"/>
    <x:col min="14" max="14" width="14" hidden="0" customWidth="1"/>
    <x:col min="15" max="15" width="13" hidden="0" customWidth="1"/>
    <x:col min="16" max="16" width="14" hidden="0" customWidth="1"/>
    <x:col min="17" max="17" width="14" hidden="0" customWidth="1"/>
  </x:cols>
  <x:sheetData>
    <x:row r="1" ht="28" customHeight="1">
      <x:c r="A1" s="6" t="str">
        <x:v>Risk ID</x:v>
      </x:c>
      <x:c r="B1" s="6" t="str">
        <x:v>Asset</x:v>
      </x:c>
      <x:c r="C1" s="6" t="str">
        <x:v>Threat</x:v>
      </x:c>
      <x:c r="D1" s="6" t="str">
        <x:v>Vulnerability</x:v>
      </x:c>
      <x:c r="E1" s="6" t="str">
        <x:v>Existing Controls</x:v>
      </x:c>
      <x:c r="F1" s="6" t="str">
        <x:v>Likelihood</x:v>
      </x:c>
      <x:c r="G1" s="6" t="str">
        <x:v>Impact</x:v>
      </x:c>
      <x:c r="H1" s="6" t="str">
        <x:v>Inherent Score</x:v>
      </x:c>
      <x:c r="I1" s="6" t="str">
        <x:v>Inherent Level</x:v>
      </x:c>
      <x:c r="J1" s="6" t="str">
        <x:v>Treatment</x:v>
      </x:c>
      <x:c r="K1" s="6" t="str">
        <x:v>Action Plan</x:v>
      </x:c>
      <x:c r="L1" s="6" t="str">
        <x:v>Owner</x:v>
      </x:c>
      <x:c r="M1" s="6" t="str">
        <x:v>Residual Likelihood</x:v>
      </x:c>
      <x:c r="N1" s="6" t="str">
        <x:v>Residual Impact</x:v>
      </x:c>
      <x:c r="O1" s="6" t="str">
        <x:v>Residual Score</x:v>
      </x:c>
      <x:c r="P1" s="6" t="str">
        <x:v>Residual Level</x:v>
      </x:c>
      <x:c r="Q1" s="6" t="str">
        <x:v>Status</x:v>
      </x:c>
    </x:row>
    <x:row r="2">
      <x:c r="A2" s="14" t="str">
        <x:v>R-001</x:v>
      </x:c>
      <x:c r="B2" s="14" t="str">
        <x:v>Active Directory</x:v>
      </x:c>
      <x:c r="C2" s="14" t="str">
        <x:v>Credential attack</x:v>
      </x:c>
      <x:c r="D2" s="14" t="str">
        <x:v>Weak or reused passwords</x:v>
      </x:c>
      <x:c r="E2" s="14" t="str">
        <x:v>Password policy; account lockout</x:v>
      </x:c>
      <x:c r="F2" s="14" t="n">
        <x:v>4</x:v>
      </x:c>
      <x:c r="G2" s="14" t="n">
        <x:v>5</x:v>
      </x:c>
      <x:c r="H2" s="14" t="n">
        <x:f>F2*G2</x:f>
        <x:v>20</x:v>
      </x:c>
      <x:c r="I2" s="14" t="str">
        <x:f>IF(H2&gt;=16,"Critical",IF(H2&gt;=10,"High",IF(H2&gt;=5,"Medium","Low")))</x:f>
        <x:v>Critical</x:v>
      </x:c>
      <x:c r="J2" s="14" t="str">
        <x:v>Mitigate</x:v>
      </x:c>
      <x:c r="K2" s="14" t="str">
        <x:v>Implement MFA and privileged access reviews</x:v>
      </x:c>
      <x:c r="L2" s="14" t="str">
        <x:v>IT Manager</x:v>
      </x:c>
      <x:c r="M2" s="14" t="n">
        <x:v>2</x:v>
      </x:c>
      <x:c r="N2" s="14" t="n">
        <x:v>5</x:v>
      </x:c>
      <x:c r="O2" s="14" t="n">
        <x:f>M2*N2</x:f>
        <x:v>10</x:v>
      </x:c>
      <x:c r="P2" s="14" t="str">
        <x:f>IF(O2&gt;=16,"Critical",IF(O2&gt;=10,"High",IF(O2&gt;=5,"Medium","Low")))</x:f>
        <x:v>High</x:v>
      </x:c>
      <x:c r="Q2" s="14" t="str">
        <x:v>In Progress</x:v>
      </x:c>
    </x:row>
    <x:row r="3">
      <x:c r="A3" s="14" t="str">
        <x:v>R-002</x:v>
      </x:c>
      <x:c r="B3" s="14" t="str">
        <x:v>Email Service</x:v>
      </x:c>
      <x:c r="C3" s="14" t="str">
        <x:v>Phishing</x:v>
      </x:c>
      <x:c r="D3" s="14" t="str">
        <x:v>Limited phishing-resistant controls</x:v>
      </x:c>
      <x:c r="E3" s="14" t="str">
        <x:v>Spam filtering; awareness training</x:v>
      </x:c>
      <x:c r="F3" s="14" t="n">
        <x:v>4</x:v>
      </x:c>
      <x:c r="G3" s="14" t="n">
        <x:v>4</x:v>
      </x:c>
      <x:c r="H3" s="14" t="n">
        <x:f>F3*G3</x:f>
        <x:v>16</x:v>
      </x:c>
      <x:c r="I3" s="14" t="str">
        <x:f>IF(H3&gt;=16,"Critical",IF(H3&gt;=10,"High",IF(H3&gt;=5,"Medium","Low")))</x:f>
        <x:v>Critical</x:v>
      </x:c>
      <x:c r="J3" s="14" t="str">
        <x:v>Mitigate</x:v>
      </x:c>
      <x:c r="K3" s="14" t="str">
        <x:v>Deploy MFA and phishing simulations</x:v>
      </x:c>
      <x:c r="L3" s="14" t="str">
        <x:v>Security Lead</x:v>
      </x:c>
      <x:c r="M3" s="14" t="n">
        <x:v>2</x:v>
      </x:c>
      <x:c r="N3" s="14" t="n">
        <x:v>4</x:v>
      </x:c>
      <x:c r="O3" s="14" t="n">
        <x:f>M3*N3</x:f>
        <x:v>8</x:v>
      </x:c>
      <x:c r="P3" s="14" t="str">
        <x:f>IF(O3&gt;=16,"Critical",IF(O3&gt;=10,"High",IF(O3&gt;=5,"Medium","Low")))</x:f>
        <x:v>Medium</x:v>
      </x:c>
      <x:c r="Q3" s="14" t="str">
        <x:v>In Progress</x:v>
      </x:c>
    </x:row>
    <x:row r="4">
      <x:c r="A4" s="14" t="str">
        <x:v>R-003</x:v>
      </x:c>
      <x:c r="B4" s="14" t="str">
        <x:v>Customer Database</x:v>
      </x:c>
      <x:c r="C4" s="14" t="str">
        <x:v>Unauthorized access</x:v>
      </x:c>
      <x:c r="D4" s="14" t="str">
        <x:v>Excessive privileges</x:v>
      </x:c>
      <x:c r="E4" s="14" t="str">
        <x:v>Role-based access; logging</x:v>
      </x:c>
      <x:c r="F4" s="14" t="n">
        <x:v>3</x:v>
      </x:c>
      <x:c r="G4" s="14" t="n">
        <x:v>5</x:v>
      </x:c>
      <x:c r="H4" s="14" t="n">
        <x:f>F4*G4</x:f>
        <x:v>15</x:v>
      </x:c>
      <x:c r="I4" s="14" t="str">
        <x:f>IF(H4&gt;=16,"Critical",IF(H4&gt;=10,"High",IF(H4&gt;=5,"Medium","Low")))</x:f>
        <x:v>High</x:v>
      </x:c>
      <x:c r="J4" s="14" t="str">
        <x:v>Mitigate</x:v>
      </x:c>
      <x:c r="K4" s="14" t="str">
        <x:v>Quarterly access review and least privilege</x:v>
      </x:c>
      <x:c r="L4" s="14" t="str">
        <x:v>Application Owner</x:v>
      </x:c>
      <x:c r="M4" s="14" t="n">
        <x:v>2</x:v>
      </x:c>
      <x:c r="N4" s="14" t="n">
        <x:v>4</x:v>
      </x:c>
      <x:c r="O4" s="14" t="n">
        <x:f>M4*N4</x:f>
        <x:v>8</x:v>
      </x:c>
      <x:c r="P4" s="14" t="str">
        <x:f>IF(O4&gt;=16,"Critical",IF(O4&gt;=10,"High",IF(O4&gt;=5,"Medium","Low")))</x:f>
        <x:v>Medium</x:v>
      </x:c>
      <x:c r="Q4" s="14" t="str">
        <x:v>Open</x:v>
      </x:c>
    </x:row>
    <x:row r="5">
      <x:c r="A5" s="14" t="str">
        <x:v>R-004</x:v>
      </x:c>
      <x:c r="B5" s="14" t="str">
        <x:v>Backup System</x:v>
      </x:c>
      <x:c r="C5" s="14" t="str">
        <x:v>Ransomware</x:v>
      </x:c>
      <x:c r="D5" s="14" t="str">
        <x:v>Backups reachable from production</x:v>
      </x:c>
      <x:c r="E5" s="14" t="str">
        <x:v>Daily backups</x:v>
      </x:c>
      <x:c r="F5" s="14" t="n">
        <x:v>4</x:v>
      </x:c>
      <x:c r="G5" s="14" t="n">
        <x:v>5</x:v>
      </x:c>
      <x:c r="H5" s="14" t="n">
        <x:f>F5*G5</x:f>
        <x:v>20</x:v>
      </x:c>
      <x:c r="I5" s="14" t="str">
        <x:f>IF(H5&gt;=16,"Critical",IF(H5&gt;=10,"High",IF(H5&gt;=5,"Medium","Low")))</x:f>
        <x:v>Critical</x:v>
      </x:c>
      <x:c r="J5" s="14" t="str">
        <x:v>Mitigate</x:v>
      </x:c>
      <x:c r="K5" s="14" t="str">
        <x:v>Immutable/offline backup copy and restore tests</x:v>
      </x:c>
      <x:c r="L5" s="14" t="str">
        <x:v>Infrastructure Lead</x:v>
      </x:c>
      <x:c r="M5" s="14" t="n">
        <x:v>2</x:v>
      </x:c>
      <x:c r="N5" s="14" t="n">
        <x:v>5</x:v>
      </x:c>
      <x:c r="O5" s="14" t="n">
        <x:f>M5*N5</x:f>
        <x:v>10</x:v>
      </x:c>
      <x:c r="P5" s="14" t="str">
        <x:f>IF(O5&gt;=16,"Critical",IF(O5&gt;=10,"High",IF(O5&gt;=5,"Medium","Low")))</x:f>
        <x:v>High</x:v>
      </x:c>
      <x:c r="Q5" s="14" t="str">
        <x:v>In Progress</x:v>
      </x:c>
    </x:row>
    <x:row r="6">
      <x:c r="A6" s="14" t="str">
        <x:v>R-005</x:v>
      </x:c>
      <x:c r="B6" s="14" t="str">
        <x:v>Firewall</x:v>
      </x:c>
      <x:c r="C6" s="14" t="str">
        <x:v>Misconfiguration</x:v>
      </x:c>
      <x:c r="D6" s="14" t="str">
        <x:v>Unreviewed legacy rules</x:v>
      </x:c>
      <x:c r="E6" s="14" t="str">
        <x:v>Change process</x:v>
      </x:c>
      <x:c r="F6" s="14" t="n">
        <x:v>3</x:v>
      </x:c>
      <x:c r="G6" s="14" t="n">
        <x:v>4</x:v>
      </x:c>
      <x:c r="H6" s="14" t="n">
        <x:f>F6*G6</x:f>
        <x:v>12</x:v>
      </x:c>
      <x:c r="I6" s="14" t="str">
        <x:f>IF(H6&gt;=16,"Critical",IF(H6&gt;=10,"High",IF(H6&gt;=5,"Medium","Low")))</x:f>
        <x:v>High</x:v>
      </x:c>
      <x:c r="J6" s="14" t="str">
        <x:v>Mitigate</x:v>
      </x:c>
      <x:c r="K6" s="14" t="str">
        <x:v>Quarterly rule review and cleanup</x:v>
      </x:c>
      <x:c r="L6" s="14" t="str">
        <x:v>Network Lead</x:v>
      </x:c>
      <x:c r="M6" s="14" t="n">
        <x:v>2</x:v>
      </x:c>
      <x:c r="N6" s="14" t="n">
        <x:v>3</x:v>
      </x:c>
      <x:c r="O6" s="14" t="n">
        <x:f>M6*N6</x:f>
        <x:v>6</x:v>
      </x:c>
      <x:c r="P6" s="14" t="str">
        <x:f>IF(O6&gt;=16,"Critical",IF(O6&gt;=10,"High",IF(O6&gt;=5,"Medium","Low")))</x:f>
        <x:v>Medium</x:v>
      </x:c>
      <x:c r="Q6" s="14" t="str">
        <x:v>Open</x:v>
      </x:c>
    </x:row>
    <x:row r="7">
      <x:c r="A7" s="14" t="str">
        <x:v>R-006</x:v>
      </x:c>
      <x:c r="B7" s="14" t="str">
        <x:v>Employee Laptops</x:v>
      </x:c>
      <x:c r="C7" s="14" t="str">
        <x:v>Malware</x:v>
      </x:c>
      <x:c r="D7" s="14" t="str">
        <x:v>Unpatched software</x:v>
      </x:c>
      <x:c r="E7" s="14" t="str">
        <x:v>Endpoint protection</x:v>
      </x:c>
      <x:c r="F7" s="14" t="n">
        <x:v>3</x:v>
      </x:c>
      <x:c r="G7" s="14" t="n">
        <x:v>4</x:v>
      </x:c>
      <x:c r="H7" s="14" t="n">
        <x:f>F7*G7</x:f>
        <x:v>12</x:v>
      </x:c>
      <x:c r="I7" s="14" t="str">
        <x:f>IF(H7&gt;=16,"Critical",IF(H7&gt;=10,"High",IF(H7&gt;=5,"Medium","Low")))</x:f>
        <x:v>High</x:v>
      </x:c>
      <x:c r="J7" s="14" t="str">
        <x:v>Mitigate</x:v>
      </x:c>
      <x:c r="K7" s="14" t="str">
        <x:v>Central patch SLA and compliance reporting</x:v>
      </x:c>
      <x:c r="L7" s="14" t="str">
        <x:v>Endpoint Lead</x:v>
      </x:c>
      <x:c r="M7" s="14" t="n">
        <x:v>2</x:v>
      </x:c>
      <x:c r="N7" s="14" t="n">
        <x:v>3</x:v>
      </x:c>
      <x:c r="O7" s="14" t="n">
        <x:f>M7*N7</x:f>
        <x:v>6</x:v>
      </x:c>
      <x:c r="P7" s="14" t="str">
        <x:f>IF(O7&gt;=16,"Critical",IF(O7&gt;=10,"High",IF(O7&gt;=5,"Medium","Low")))</x:f>
        <x:v>Medium</x:v>
      </x:c>
      <x:c r="Q7" s="14" t="str">
        <x:v>Open</x:v>
      </x:c>
    </x:row>
    <x:row r="8">
      <x:c r="A8" s="14" t="str">
        <x:v>R-007</x:v>
      </x:c>
      <x:c r="B8" s="14" t="str">
        <x:v>VPN</x:v>
      </x:c>
      <x:c r="C8" s="14" t="str">
        <x:v>Account takeover</x:v>
      </x:c>
      <x:c r="D8" s="14" t="str">
        <x:v>Password-only remote access</x:v>
      </x:c>
      <x:c r="E8" s="14" t="str">
        <x:v>VPN gateway logging</x:v>
      </x:c>
      <x:c r="F8" s="14" t="n">
        <x:v>4</x:v>
      </x:c>
      <x:c r="G8" s="14" t="n">
        <x:v>5</x:v>
      </x:c>
      <x:c r="H8" s="14" t="n">
        <x:f>F8*G8</x:f>
        <x:v>20</x:v>
      </x:c>
      <x:c r="I8" s="14" t="str">
        <x:f>IF(H8&gt;=16,"Critical",IF(H8&gt;=10,"High",IF(H8&gt;=5,"Medium","Low")))</x:f>
        <x:v>Critical</x:v>
      </x:c>
      <x:c r="J8" s="14" t="str">
        <x:v>Mitigate</x:v>
      </x:c>
      <x:c r="K8" s="14" t="str">
        <x:v>Certificate-based access plus MFA</x:v>
      </x:c>
      <x:c r="L8" s="14" t="str">
        <x:v>Network Lead</x:v>
      </x:c>
      <x:c r="M8" s="14" t="n">
        <x:v>2</x:v>
      </x:c>
      <x:c r="N8" s="14" t="n">
        <x:v>4</x:v>
      </x:c>
      <x:c r="O8" s="14" t="n">
        <x:f>M8*N8</x:f>
        <x:v>8</x:v>
      </x:c>
      <x:c r="P8" s="14" t="str">
        <x:f>IF(O8&gt;=16,"Critical",IF(O8&gt;=10,"High",IF(O8&gt;=5,"Medium","Low")))</x:f>
        <x:v>Medium</x:v>
      </x:c>
      <x:c r="Q8" s="14" t="str">
        <x:v>In Progress</x:v>
      </x:c>
    </x:row>
    <x:row r="9">
      <x:c r="A9" s="14" t="str">
        <x:v>R-008</x:v>
      </x:c>
      <x:c r="B9" s="14" t="str">
        <x:v>HR Data</x:v>
      </x:c>
      <x:c r="C9" s="14" t="str">
        <x:v>Data leakage</x:v>
      </x:c>
      <x:c r="D9" s="14" t="str">
        <x:v>Over-broad shared folder permissions</x:v>
      </x:c>
      <x:c r="E9" s="14" t="str">
        <x:v>Access groups</x:v>
      </x:c>
      <x:c r="F9" s="14" t="n">
        <x:v>3</x:v>
      </x:c>
      <x:c r="G9" s="14" t="n">
        <x:v>5</x:v>
      </x:c>
      <x:c r="H9" s="14" t="n">
        <x:f>F9*G9</x:f>
        <x:v>15</x:v>
      </x:c>
      <x:c r="I9" s="14" t="str">
        <x:f>IF(H9&gt;=16,"Critical",IF(H9&gt;=10,"High",IF(H9&gt;=5,"Medium","Low")))</x:f>
        <x:v>High</x:v>
      </x:c>
      <x:c r="J9" s="14" t="str">
        <x:v>Mitigate</x:v>
      </x:c>
      <x:c r="K9" s="14" t="str">
        <x:v>Data classification and permission recertification</x:v>
      </x:c>
      <x:c r="L9" s="14" t="str">
        <x:v>HR Systems Owner</x:v>
      </x:c>
      <x:c r="M9" s="14" t="n">
        <x:v>2</x:v>
      </x:c>
      <x:c r="N9" s="14" t="n">
        <x:v>4</x:v>
      </x:c>
      <x:c r="O9" s="14" t="n">
        <x:f>M9*N9</x:f>
        <x:v>8</x:v>
      </x:c>
      <x:c r="P9" s="14" t="str">
        <x:f>IF(O9&gt;=16,"Critical",IF(O9&gt;=10,"High",IF(O9&gt;=5,"Medium","Low")))</x:f>
        <x:v>Medium</x:v>
      </x:c>
      <x:c r="Q9" s="14" t="str">
        <x:v>Open</x:v>
      </x:c>
    </x:row>
    <x:row r="10">
      <x:c r="A10" s="14" t="str">
        <x:v>R-009</x:v>
      </x:c>
      <x:c r="B10" s="14" t="str">
        <x:v>Cloud Storage</x:v>
      </x:c>
      <x:c r="C10" s="14" t="str">
        <x:v>Public exposure</x:v>
      </x:c>
      <x:c r="D10" s="14" t="str">
        <x:v>Incorrect sharing settings</x:v>
      </x:c>
      <x:c r="E10" s="14" t="str">
        <x:v>Provider baseline settings</x:v>
      </x:c>
      <x:c r="F10" s="14" t="n">
        <x:v>3</x:v>
      </x:c>
      <x:c r="G10" s="14" t="n">
        <x:v>5</x:v>
      </x:c>
      <x:c r="H10" s="14" t="n">
        <x:f>F10*G10</x:f>
        <x:v>15</x:v>
      </x:c>
      <x:c r="I10" s="14" t="str">
        <x:f>IF(H10&gt;=16,"Critical",IF(H10&gt;=10,"High",IF(H10&gt;=5,"Medium","Low")))</x:f>
        <x:v>High</x:v>
      </x:c>
      <x:c r="J10" s="14" t="str">
        <x:v>Mitigate</x:v>
      </x:c>
      <x:c r="K10" s="14" t="str">
        <x:v>CSPM checks and approval workflow</x:v>
      </x:c>
      <x:c r="L10" s="14" t="str">
        <x:v>Cloud Owner</x:v>
      </x:c>
      <x:c r="M10" s="14" t="n">
        <x:v>2</x:v>
      </x:c>
      <x:c r="N10" s="14" t="n">
        <x:v>3</x:v>
      </x:c>
      <x:c r="O10" s="14" t="n">
        <x:f>M10*N10</x:f>
        <x:v>6</x:v>
      </x:c>
      <x:c r="P10" s="14" t="str">
        <x:f>IF(O10&gt;=16,"Critical",IF(O10&gt;=10,"High",IF(O10&gt;=5,"Medium","Low")))</x:f>
        <x:v>Medium</x:v>
      </x:c>
      <x:c r="Q10" s="14" t="str">
        <x:v>Open</x:v>
      </x:c>
    </x:row>
    <x:row r="11">
      <x:c r="A11" s="14" t="str">
        <x:v>R-010</x:v>
      </x:c>
      <x:c r="B11" s="14" t="str">
        <x:v>ERP</x:v>
      </x:c>
      <x:c r="C11" s="14" t="str">
        <x:v>Service outage</x:v>
      </x:c>
      <x:c r="D11" s="14" t="str">
        <x:v>Single critical dependency</x:v>
      </x:c>
      <x:c r="E11" s="14" t="str">
        <x:v>Vendor support contract</x:v>
      </x:c>
      <x:c r="F11" s="14" t="n">
        <x:v>3</x:v>
      </x:c>
      <x:c r="G11" s="14" t="n">
        <x:v>4</x:v>
      </x:c>
      <x:c r="H11" s="14" t="n">
        <x:f>F11*G11</x:f>
        <x:v>12</x:v>
      </x:c>
      <x:c r="I11" s="14" t="str">
        <x:f>IF(H11&gt;=16,"Critical",IF(H11&gt;=10,"High",IF(H11&gt;=5,"Medium","Low")))</x:f>
        <x:v>High</x:v>
      </x:c>
      <x:c r="J11" s="14" t="str">
        <x:v>Transfer/Mitigate</x:v>
      </x:c>
      <x:c r="K11" s="14" t="str">
        <x:v>BCP, vendor SLA review, recovery testing</x:v>
      </x:c>
      <x:c r="L11" s="14" t="str">
        <x:v>ERP Owner</x:v>
      </x:c>
      <x:c r="M11" s="14" t="n">
        <x:v>2</x:v>
      </x:c>
      <x:c r="N11" s="14" t="n">
        <x:v>3</x:v>
      </x:c>
      <x:c r="O11" s="14" t="n">
        <x:f>M11*N11</x:f>
        <x:v>6</x:v>
      </x:c>
      <x:c r="P11" s="14" t="str">
        <x:f>IF(O11&gt;=16,"Critical",IF(O11&gt;=10,"High",IF(O11&gt;=5,"Medium","Low")))</x:f>
        <x:v>Medium</x:v>
      </x:c>
      <x:c r="Q11" s="14" t="str">
        <x:v>Open</x:v>
      </x:c>
    </x:row>
    <x:row r="12">
      <x:c r="A12" s="14" t="str">
        <x:v>R-011</x:v>
      </x:c>
      <x:c r="B12" s="14" t="str">
        <x:v>Web Application</x:v>
      </x:c>
      <x:c r="C12" s="14" t="str">
        <x:v>SQL injection</x:v>
      </x:c>
      <x:c r="D12" s="14" t="str">
        <x:v>Insufficient input handling</x:v>
      </x:c>
      <x:c r="E12" s="14" t="str">
        <x:v>WAF; code review</x:v>
      </x:c>
      <x:c r="F12" s="14" t="n">
        <x:v>3</x:v>
      </x:c>
      <x:c r="G12" s="14" t="n">
        <x:v>5</x:v>
      </x:c>
      <x:c r="H12" s="14" t="n">
        <x:f>F12*G12</x:f>
        <x:v>15</x:v>
      </x:c>
      <x:c r="I12" s="14" t="str">
        <x:f>IF(H12&gt;=16,"Critical",IF(H12&gt;=10,"High",IF(H12&gt;=5,"Medium","Low")))</x:f>
        <x:v>High</x:v>
      </x:c>
      <x:c r="J12" s="14" t="str">
        <x:v>Mitigate</x:v>
      </x:c>
      <x:c r="K12" s="14" t="str">
        <x:v>Parameterized queries and security testing</x:v>
      </x:c>
      <x:c r="L12" s="14" t="str">
        <x:v>AppSec Lead</x:v>
      </x:c>
      <x:c r="M12" s="14" t="n">
        <x:v>1</x:v>
      </x:c>
      <x:c r="N12" s="14" t="n">
        <x:v>4</x:v>
      </x:c>
      <x:c r="O12" s="14" t="n">
        <x:f>M12*N12</x:f>
        <x:v>4</x:v>
      </x:c>
      <x:c r="P12" s="14" t="str">
        <x:f>IF(O12&gt;=16,"Critical",IF(O12&gt;=10,"High",IF(O12&gt;=5,"Medium","Low")))</x:f>
        <x:v>Low</x:v>
      </x:c>
      <x:c r="Q12" s="14" t="str">
        <x:v>Planned</x:v>
      </x:c>
    </x:row>
    <x:row r="13">
      <x:c r="A13" s="14" t="str">
        <x:v>R-012</x:v>
      </x:c>
      <x:c r="B13" s="14" t="str">
        <x:v>Server Room</x:v>
      </x:c>
      <x:c r="C13" s="14" t="str">
        <x:v>Unauthorized physical access</x:v>
      </x:c>
      <x:c r="D13" s="14" t="str">
        <x:v>Weak visitor controls</x:v>
      </x:c>
      <x:c r="E13" s="14" t="str">
        <x:v>Door lock; CCTV</x:v>
      </x:c>
      <x:c r="F13" s="14" t="n">
        <x:v>2</x:v>
      </x:c>
      <x:c r="G13" s="14" t="n">
        <x:v>4</x:v>
      </x:c>
      <x:c r="H13" s="14" t="n">
        <x:f>F13*G13</x:f>
        <x:v>8</x:v>
      </x:c>
      <x:c r="I13" s="14" t="str">
        <x:f>IF(H13&gt;=16,"Critical",IF(H13&gt;=10,"High",IF(H13&gt;=5,"Medium","Low")))</x:f>
        <x:v>Medium</x:v>
      </x:c>
      <x:c r="J13" s="14" t="str">
        <x:v>Mitigate</x:v>
      </x:c>
      <x:c r="K13" s="14" t="str">
        <x:v>Visitor log and badge access</x:v>
      </x:c>
      <x:c r="L13" s="14" t="str">
        <x:v>Facilities</x:v>
      </x:c>
      <x:c r="M13" s="14" t="n">
        <x:v>1</x:v>
      </x:c>
      <x:c r="N13" s="14" t="n">
        <x:v>3</x:v>
      </x:c>
      <x:c r="O13" s="14" t="n">
        <x:f>M13*N13</x:f>
        <x:v>3</x:v>
      </x:c>
      <x:c r="P13" s="14" t="str">
        <x:f>IF(O13&gt;=16,"Critical",IF(O13&gt;=10,"High",IF(O13&gt;=5,"Medium","Low")))</x:f>
        <x:v>Low</x:v>
      </x:c>
      <x:c r="Q13" s="14" t="str">
        <x:v>Open</x:v>
      </x:c>
    </x:row>
    <x:row r="14">
      <x:c r="A14" s="14" t="str">
        <x:v>R-013</x:v>
      </x:c>
      <x:c r="B14" s="14" t="str">
        <x:v>Third-Party Vendor</x:v>
      </x:c>
      <x:c r="C14" s="14" t="str">
        <x:v>Supply-chain compromise</x:v>
      </x:c>
      <x:c r="D14" s="14" t="str">
        <x:v>Limited assurance evidence</x:v>
      </x:c>
      <x:c r="E14" s="14" t="str">
        <x:v>Contract clauses</x:v>
      </x:c>
      <x:c r="F14" s="14" t="n">
        <x:v>3</x:v>
      </x:c>
      <x:c r="G14" s="14" t="n">
        <x:v>5</x:v>
      </x:c>
      <x:c r="H14" s="14" t="n">
        <x:f>F14*G14</x:f>
        <x:v>15</x:v>
      </x:c>
      <x:c r="I14" s="14" t="str">
        <x:f>IF(H14&gt;=16,"Critical",IF(H14&gt;=10,"High",IF(H14&gt;=5,"Medium","Low")))</x:f>
        <x:v>High</x:v>
      </x:c>
      <x:c r="J14" s="14" t="str">
        <x:v>Mitigate</x:v>
      </x:c>
      <x:c r="K14" s="14" t="str">
        <x:v>Annual vendor security review</x:v>
      </x:c>
      <x:c r="L14" s="14" t="str">
        <x:v>Procurement</x:v>
      </x:c>
      <x:c r="M14" s="14" t="n">
        <x:v>2</x:v>
      </x:c>
      <x:c r="N14" s="14" t="n">
        <x:v>4</x:v>
      </x:c>
      <x:c r="O14" s="14" t="n">
        <x:f>M14*N14</x:f>
        <x:v>8</x:v>
      </x:c>
      <x:c r="P14" s="14" t="str">
        <x:f>IF(O14&gt;=16,"Critical",IF(O14&gt;=10,"High",IF(O14&gt;=5,"Medium","Low")))</x:f>
        <x:v>Medium</x:v>
      </x:c>
      <x:c r="Q14" s="14" t="str">
        <x:v>Open</x:v>
      </x:c>
    </x:row>
    <x:row r="15">
      <x:c r="A15" s="14" t="str">
        <x:v>R-014</x:v>
      </x:c>
      <x:c r="B15" s="14" t="str">
        <x:v>DNS Service</x:v>
      </x:c>
      <x:c r="C15" s="14" t="str">
        <x:v>Availability attack</x:v>
      </x:c>
      <x:c r="D15" s="14" t="str">
        <x:v>Single resolver dependency</x:v>
      </x:c>
      <x:c r="E15" s="14" t="str">
        <x:v>Monitoring</x:v>
      </x:c>
      <x:c r="F15" s="14" t="n">
        <x:v>2</x:v>
      </x:c>
      <x:c r="G15" s="14" t="n">
        <x:v>4</x:v>
      </x:c>
      <x:c r="H15" s="14" t="n">
        <x:f>F15*G15</x:f>
        <x:v>8</x:v>
      </x:c>
      <x:c r="I15" s="14" t="str">
        <x:f>IF(H15&gt;=16,"Critical",IF(H15&gt;=10,"High",IF(H15&gt;=5,"Medium","Low")))</x:f>
        <x:v>Medium</x:v>
      </x:c>
      <x:c r="J15" s="14" t="str">
        <x:v>Mitigate</x:v>
      </x:c>
      <x:c r="K15" s="14" t="str">
        <x:v>Redundant resolver design</x:v>
      </x:c>
      <x:c r="L15" s="14" t="str">
        <x:v>Network Lead</x:v>
      </x:c>
      <x:c r="M15" s="14" t="n">
        <x:v>1</x:v>
      </x:c>
      <x:c r="N15" s="14" t="n">
        <x:v>3</x:v>
      </x:c>
      <x:c r="O15" s="14" t="n">
        <x:f>M15*N15</x:f>
        <x:v>3</x:v>
      </x:c>
      <x:c r="P15" s="14" t="str">
        <x:f>IF(O15&gt;=16,"Critical",IF(O15&gt;=10,"High",IF(O15&gt;=5,"Medium","Low")))</x:f>
        <x:v>Low</x:v>
      </x:c>
      <x:c r="Q15" s="14" t="str">
        <x:v>Planned</x:v>
      </x:c>
    </x:row>
    <x:row r="16">
      <x:c r="A16" s="14" t="str">
        <x:v>R-015</x:v>
      </x:c>
      <x:c r="B16" s="14" t="str">
        <x:v>Privileged Accounts</x:v>
      </x:c>
      <x:c r="C16" s="14" t="str">
        <x:v>Insider misuse</x:v>
      </x:c>
      <x:c r="D16" s="14" t="str">
        <x:v>Shared admin credentials</x:v>
      </x:c>
      <x:c r="E16" s="14" t="str">
        <x:v>Admin group monitoring</x:v>
      </x:c>
      <x:c r="F16" s="14" t="n">
        <x:v>3</x:v>
      </x:c>
      <x:c r="G16" s="14" t="n">
        <x:v>5</x:v>
      </x:c>
      <x:c r="H16" s="14" t="n">
        <x:f>F16*G16</x:f>
        <x:v>15</x:v>
      </x:c>
      <x:c r="I16" s="14" t="str">
        <x:f>IF(H16&gt;=16,"Critical",IF(H16&gt;=10,"High",IF(H16&gt;=5,"Medium","Low")))</x:f>
        <x:v>High</x:v>
      </x:c>
      <x:c r="J16" s="14" t="str">
        <x:v>Mitigate</x:v>
      </x:c>
      <x:c r="K16" s="14" t="str">
        <x:v>Named accounts, PAM, session logging</x:v>
      </x:c>
      <x:c r="L16" s="14" t="str">
        <x:v>Security Lead</x:v>
      </x:c>
      <x:c r="M16" s="14" t="n">
        <x:v>1</x:v>
      </x:c>
      <x:c r="N16" s="14" t="n">
        <x:v>4</x:v>
      </x:c>
      <x:c r="O16" s="14" t="n">
        <x:f>M16*N16</x:f>
        <x:v>4</x:v>
      </x:c>
      <x:c r="P16" s="14" t="str">
        <x:f>IF(O16&gt;=16,"Critical",IF(O16&gt;=10,"High",IF(O16&gt;=5,"Medium","Low")))</x:f>
        <x:v>Low</x:v>
      </x:c>
      <x:c r="Q16" s="14" t="str">
        <x:v>In Progress</x:v>
      </x:c>
    </x:row>
  </x:sheetData>
  <x:conditionalFormatting sqref="H2:H16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O2:O16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2">
    <x:dataValidation type="list" sqref="J2:J16">
      <x:formula1>"Mitigate,Avoid,Transfer,Accept"</x:formula1>
    </x:dataValidation>
    <x:dataValidation type="list" sqref="Q2:Q16">
      <x:formula1>"Open,Planned,In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edef21cd514f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</x:cols>
  <x:sheetData>
    <x:row r="1" ht="28" customHeight="1">
      <x:c r="A1" s="6" t="str">
        <x:v>Asset ID</x:v>
      </x:c>
      <x:c r="B1" s="6" t="str">
        <x:v>Asset</x:v>
      </x:c>
      <x:c r="C1" s="6" t="str">
        <x:v>Type</x:v>
      </x:c>
      <x:c r="D1" s="6" t="str">
        <x:v>Business Owner</x:v>
      </x:c>
      <x:c r="E1" s="6" t="str">
        <x:v>Location</x:v>
      </x:c>
      <x:c r="F1" s="6" t="str">
        <x:v>Classification</x:v>
      </x:c>
      <x:c r="G1" s="6" t="str">
        <x:v>Criticality</x:v>
      </x:c>
      <x:c r="H1" s="6" t="str">
        <x:v>CIA Priority</x:v>
      </x:c>
    </x:row>
    <x:row r="2">
      <x:c r="A2" s="14" t="str">
        <x:v>A-001</x:v>
      </x:c>
      <x:c r="B2" s="14" t="str">
        <x:v>Active Directory</x:v>
      </x:c>
      <x:c r="C2" s="14" t="str">
        <x:v>Identity Service</x:v>
      </x:c>
      <x:c r="D2" s="14" t="str">
        <x:v>IT</x:v>
      </x:c>
      <x:c r="E2" s="14" t="str">
        <x:v>Data Center</x:v>
      </x:c>
      <x:c r="F2" s="14" t="str">
        <x:v>Confidential</x:v>
      </x:c>
      <x:c r="G2" s="14" t="str">
        <x:v>Critical</x:v>
      </x:c>
      <x:c r="H2" s="14" t="str">
        <x:v>C/I/A</x:v>
      </x:c>
    </x:row>
    <x:row r="3">
      <x:c r="A3" s="14" t="str">
        <x:v>A-002</x:v>
      </x:c>
      <x:c r="B3" s="14" t="str">
        <x:v>Email Service</x:v>
      </x:c>
      <x:c r="C3" s="14" t="str">
        <x:v>Messaging</x:v>
      </x:c>
      <x:c r="D3" s="14" t="str">
        <x:v>IT</x:v>
      </x:c>
      <x:c r="E3" s="14" t="str">
        <x:v>Cloud</x:v>
      </x:c>
      <x:c r="F3" s="14" t="str">
        <x:v>Internal</x:v>
      </x:c>
      <x:c r="G3" s="14" t="str">
        <x:v>High</x:v>
      </x:c>
      <x:c r="H3" s="14" t="str">
        <x:v>C/A</x:v>
      </x:c>
    </x:row>
    <x:row r="4">
      <x:c r="A4" s="14" t="str">
        <x:v>A-003</x:v>
      </x:c>
      <x:c r="B4" s="14" t="str">
        <x:v>Customer Database</x:v>
      </x:c>
      <x:c r="C4" s="14" t="str">
        <x:v>Database</x:v>
      </x:c>
      <x:c r="D4" s="14" t="str">
        <x:v>Business Apps</x:v>
      </x:c>
      <x:c r="E4" s="14" t="str">
        <x:v>Data Center</x:v>
      </x:c>
      <x:c r="F4" s="14" t="str">
        <x:v>Restricted</x:v>
      </x:c>
      <x:c r="G4" s="14" t="str">
        <x:v>Critical</x:v>
      </x:c>
      <x:c r="H4" s="14" t="str">
        <x:v>C/I/A</x:v>
      </x:c>
    </x:row>
    <x:row r="5">
      <x:c r="A5" s="14" t="str">
        <x:v>A-004</x:v>
      </x:c>
      <x:c r="B5" s="14" t="str">
        <x:v>Backup System</x:v>
      </x:c>
      <x:c r="C5" s="14" t="str">
        <x:v>Infrastructure</x:v>
      </x:c>
      <x:c r="D5" s="14" t="str">
        <x:v>IT</x:v>
      </x:c>
      <x:c r="E5" s="14" t="str">
        <x:v>Data Center</x:v>
      </x:c>
      <x:c r="F5" s="14" t="str">
        <x:v>Restricted</x:v>
      </x:c>
      <x:c r="G5" s="14" t="str">
        <x:v>Critical</x:v>
      </x:c>
      <x:c r="H5" s="14" t="str">
        <x:v>I/A</x:v>
      </x:c>
    </x:row>
    <x:row r="6">
      <x:c r="A6" s="14" t="str">
        <x:v>A-005</x:v>
      </x:c>
      <x:c r="B6" s="14" t="str">
        <x:v>Firewall</x:v>
      </x:c>
      <x:c r="C6" s="14" t="str">
        <x:v>Network Security</x:v>
      </x:c>
      <x:c r="D6" s="14" t="str">
        <x:v>Network</x:v>
      </x:c>
      <x:c r="E6" s="14" t="str">
        <x:v>Data Center</x:v>
      </x:c>
      <x:c r="F6" s="14" t="str">
        <x:v>Internal</x:v>
      </x:c>
      <x:c r="G6" s="14" t="str">
        <x:v>Critical</x:v>
      </x:c>
      <x:c r="H6" s="14" t="str">
        <x:v>I/A</x:v>
      </x:c>
    </x:row>
    <x:row r="7">
      <x:c r="A7" s="14" t="str">
        <x:v>A-006</x:v>
      </x:c>
      <x:c r="B7" s="14" t="str">
        <x:v>Employee Laptops</x:v>
      </x:c>
      <x:c r="C7" s="14" t="str">
        <x:v>Endpoint</x:v>
      </x:c>
      <x:c r="D7" s="14" t="str">
        <x:v>Department Heads</x:v>
      </x:c>
      <x:c r="E7" s="14" t="str">
        <x:v>Multiple</x:v>
      </x:c>
      <x:c r="F7" s="14" t="str">
        <x:v>Internal</x:v>
      </x:c>
      <x:c r="G7" s="14" t="str">
        <x:v>Medium</x:v>
      </x:c>
      <x:c r="H7" s="14" t="str">
        <x:v>C/I</x:v>
      </x:c>
    </x:row>
    <x:row r="8">
      <x:c r="A8" s="14" t="str">
        <x:v>A-007</x:v>
      </x:c>
      <x:c r="B8" s="14" t="str">
        <x:v>VPN</x:v>
      </x:c>
      <x:c r="C8" s="14" t="str">
        <x:v>Remote Access</x:v>
      </x:c>
      <x:c r="D8" s="14" t="str">
        <x:v>Network</x:v>
      </x:c>
      <x:c r="E8" s="14" t="str">
        <x:v>Edge</x:v>
      </x:c>
      <x:c r="F8" s="14" t="str">
        <x:v>Internal</x:v>
      </x:c>
      <x:c r="G8" s="14" t="str">
        <x:v>High</x:v>
      </x:c>
      <x:c r="H8" s="14" t="str">
        <x:v>C/I/A</x:v>
      </x:c>
    </x:row>
    <x:row r="9">
      <x:c r="A9" s="14" t="str">
        <x:v>A-008</x:v>
      </x:c>
      <x:c r="B9" s="14" t="str">
        <x:v>HR Data</x:v>
      </x:c>
      <x:c r="C9" s="14" t="str">
        <x:v>Information</x:v>
      </x:c>
      <x:c r="D9" s="14" t="str">
        <x:v>HR</x:v>
      </x:c>
      <x:c r="E9" s="14" t="str">
        <x:v>Data Center</x:v>
      </x:c>
      <x:c r="F9" s="14" t="str">
        <x:v>Restricted</x:v>
      </x:c>
      <x:c r="G9" s="14" t="str">
        <x:v>High</x:v>
      </x:c>
      <x:c r="H9" s="14" t="str">
        <x:v>C/I</x:v>
      </x:c>
    </x:row>
    <x:row r="10">
      <x:c r="A10" s="14" t="str">
        <x:v>A-009</x:v>
      </x:c>
      <x:c r="B10" s="14" t="str">
        <x:v>Cloud Storage</x:v>
      </x:c>
      <x:c r="C10" s="14" t="str">
        <x:v>Cloud Service</x:v>
      </x:c>
      <x:c r="D10" s="14" t="str">
        <x:v>IT</x:v>
      </x:c>
      <x:c r="E10" s="14" t="str">
        <x:v>Cloud</x:v>
      </x:c>
      <x:c r="F10" s="14" t="str">
        <x:v>Confidential</x:v>
      </x:c>
      <x:c r="G10" s="14" t="str">
        <x:v>High</x:v>
      </x:c>
      <x:c r="H10" s="14" t="str">
        <x:v>C/I/A</x:v>
      </x:c>
    </x:row>
    <x:row r="11">
      <x:c r="A11" s="14" t="str">
        <x:v>A-010</x:v>
      </x:c>
      <x:c r="B11" s="14" t="str">
        <x:v>ERP</x:v>
      </x:c>
      <x:c r="C11" s="14" t="str">
        <x:v>Business Application</x:v>
      </x:c>
      <x:c r="D11" s="14" t="str">
        <x:v>Finance</x:v>
      </x:c>
      <x:c r="E11" s="14" t="str">
        <x:v>Data Center</x:v>
      </x:c>
      <x:c r="F11" s="14" t="str">
        <x:v>Confidential</x:v>
      </x:c>
      <x:c r="G11" s="14" t="str">
        <x:v>Critical</x:v>
      </x:c>
      <x:c r="H11" s="14" t="str">
        <x:v>C/I/A</x:v>
      </x:c>
    </x:row>
  </x:sheetData>
  <x:pageMargins left="0.7" right="0.7" top="0.75" bottom="0.75" header="0.3" footer="0.3"/>
  <x:tableParts count="1">
    <x:tablePart xmlns:r="http://schemas.openxmlformats.org/officeDocument/2006/relationships" r:id="R5328bd21126c41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4" t="str">
        <x:v>Risk Assessment Methodology</x:v>
      </x:c>
      <x:c r="B1" s="4" t="str">
        <x:v>FinCore — simulated GRC portfolio project</x:v>
      </x:c>
    </x:row>
    <x:row r="2">
      <x:c r="A2" s="12" t="str">
        <x:v>Scale</x:v>
      </x:c>
      <x:c r="B2" s="12" t="str">
        <x:v>Likelihood and Impact are rated from 1 (Low) to 5 (Very High).</x:v>
      </x:c>
    </x:row>
    <x:row r="3">
      <x:c r="A3" s="12" t="str">
        <x:v>Risk Score</x:v>
      </x:c>
      <x:c r="B3" s="12" t="str">
        <x:v>Likelihood × Impact.</x:v>
      </x:c>
    </x:row>
    <x:row r="4">
      <x:c r="A4" s="12" t="str">
        <x:v>Low</x:v>
      </x:c>
      <x:c r="B4" s="12" t="str">
        <x:v>1–4</x:v>
      </x:c>
    </x:row>
    <x:row r="5">
      <x:c r="A5" s="12" t="str">
        <x:v>Medium</x:v>
      </x:c>
      <x:c r="B5" s="12" t="str">
        <x:v>5–9</x:v>
      </x:c>
    </x:row>
    <x:row r="6">
      <x:c r="A6" s="12" t="str">
        <x:v>High</x:v>
      </x:c>
      <x:c r="B6" s="12" t="str">
        <x:v>10–15</x:v>
      </x:c>
    </x:row>
    <x:row r="7">
      <x:c r="A7" s="12" t="str">
        <x:v>Critical</x:v>
      </x:c>
      <x:c r="B7" s="12" t="str">
        <x:v>16–25</x:v>
      </x:c>
    </x:row>
    <x:row r="8">
      <x:c r="A8" s="12" t="str">
        <x:v>Treatment Options</x:v>
      </x:c>
      <x:c r="B8" s="12" t="str">
        <x:v>Mitigate, Avoid, Transfer, Accept.</x:v>
      </x:c>
    </x:row>
    <x:row r="9">
      <x:c r="A9" s="12" t="str">
        <x:v>Note</x:v>
      </x:c>
      <x:c r="B9" s="12" t="str">
        <x:v>This is a simulated portfolio project and does not represent a real organization.</x:v>
      </x:c>
    </x:row>
  </x:sheetData>
  <x:pageMargins left="0.7" right="0.7" top="0.75" bottom="0.75" header="0.3" footer="0.3"/>
</x:worksheet>
</file>